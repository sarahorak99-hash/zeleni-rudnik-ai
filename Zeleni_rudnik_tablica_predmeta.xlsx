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ip\Downloads\zeleni rudnik\"/>
    </mc:Choice>
  </mc:AlternateContent>
  <xr:revisionPtr revIDLastSave="0" documentId="13_ncr:1_{F3C9BED1-C2DC-4E7D-8F56-FC25E7F303B7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Upute" sheetId="1" r:id="rId1"/>
    <sheet name="Predmeti" sheetId="2" r:id="rId2"/>
  </sheets>
  <definedNames>
    <definedName name="_xlnm._FilterDatabase" localSheetId="1" hidden="1">Predmeti!$A$1:$K$72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14" i="1" l="1"/>
</calcChain>
</file>

<file path=xl/sharedStrings.xml><?xml version="1.0" encoding="utf-8"?>
<sst xmlns="http://schemas.openxmlformats.org/spreadsheetml/2006/main" count="311" uniqueCount="215">
  <si>
    <t>Tablica predmeta – Zeleni rudnik</t>
  </si>
  <si>
    <t>Svrha</t>
  </si>
  <si>
    <t>Osnova za prepoznavanje otpada sa slike i za chat. Svaki predmet povezan je s kategorijom i mjestom zbrinjavanja.</t>
  </si>
  <si>
    <t>Važno</t>
  </si>
  <si>
    <t>Sadržaj je NACRT iz općeg znanja. Prije korištenja svaki red treba provjeriti u uputama Čistoće i propisima te promijeniti status u „Provjereno“.</t>
  </si>
  <si>
    <t>Što uređivati</t>
  </si>
  <si>
    <t>Žuto obojeni stupci (Izvor i Status). Ostale stupce ispravljajte po potrebi.</t>
  </si>
  <si>
    <t>Izvor</t>
  </si>
  <si>
    <t>Upiši odakle je podatak provjeren (npr. poveznica na upute Čistoće ili naziv propisa).</t>
  </si>
  <si>
    <t>Status</t>
  </si>
  <si>
    <t>Za provjeriti / Provjereno / Nejasno (padajući izbornik).</t>
  </si>
  <si>
    <t>Stupac u skupu dvorišta</t>
  </si>
  <si>
    <t>Naziv stupca iz skupa „Reciklažna dvorišta grada Zagreba“ koji odgovara toj vrsti otpada (PAPIR, PLASTIKA, STAKLO, METALNA_AM, STARE_BATE, BIOOTPAD, OTPAD_GUME, GRADJ_OTPA, ELEK_OTPAD, OSTALO). Prazno znači da predmet ne ide na reciklažno dvorište. Provjeri u QGIS-u što točno piše u tim stupcima.</t>
  </si>
  <si>
    <t>Novi red</t>
  </si>
  <si>
    <t>Dodaj ispod zadnjeg predmeta; filter i padajući izbornik pokrivaju i prazne redove.</t>
  </si>
  <si>
    <t>Napredak provjere</t>
  </si>
  <si>
    <t>Ukupno predmeta</t>
  </si>
  <si>
    <t>Provjereno</t>
  </si>
  <si>
    <t>Postotak provjereno</t>
  </si>
  <si>
    <t>Br.</t>
  </si>
  <si>
    <t>Predmet (HR)</t>
  </si>
  <si>
    <t>Item (EN)</t>
  </si>
  <si>
    <t>Kategorija (HR)</t>
  </si>
  <si>
    <t>Category (EN)</t>
  </si>
  <si>
    <t>Gdje zbrinuti (HR)</t>
  </si>
  <si>
    <t>Where to dispose (EN)</t>
  </si>
  <si>
    <t>Stupac u skupu dvorišta (filter)</t>
  </si>
  <si>
    <t>Napomena</t>
  </si>
  <si>
    <t>Plastična boca (PET)</t>
  </si>
  <si>
    <t>Plastic bottle (PET)</t>
  </si>
  <si>
    <t>Ambalaža – plastika</t>
  </si>
  <si>
    <t>Packaging – plastic</t>
  </si>
  <si>
    <t>Žuti spremnik / žuta vreća; reciklažno dvorište</t>
  </si>
  <si>
    <t>Yellow bin / yellow bag; recycling yard</t>
  </si>
  <si>
    <t>PLASTIKA</t>
  </si>
  <si>
    <t>Isprazniti i stisnuti, čep ostaviti na boci</t>
  </si>
  <si>
    <t>Aluminijska limenka</t>
  </si>
  <si>
    <t>Aluminium can</t>
  </si>
  <si>
    <t>Ambalaža – metal</t>
  </si>
  <si>
    <t>Packaging – metal</t>
  </si>
  <si>
    <t>METALNA_AM</t>
  </si>
  <si>
    <t>Prazna, ne treba je prati do savršenstva</t>
  </si>
  <si>
    <t>Staklena boca ili staklenka</t>
  </si>
  <si>
    <t>Glass bottle or jar</t>
  </si>
  <si>
    <t>Staklo</t>
  </si>
  <si>
    <t>Glass</t>
  </si>
  <si>
    <t>Zeleni otok (spremnik za staklo); reciklažno dvorište</t>
  </si>
  <si>
    <t>Green-island glass container; recycling yard</t>
  </si>
  <si>
    <t>STAKLO</t>
  </si>
  <si>
    <t>Skinuti poklopac; ne ide prozorsko staklo ni ogledala</t>
  </si>
  <si>
    <t>Novine i časopisi</t>
  </si>
  <si>
    <t>Newspapers and magazines</t>
  </si>
  <si>
    <t>Papir</t>
  </si>
  <si>
    <t>Paper</t>
  </si>
  <si>
    <t>Plavi spremnik; reciklažno dvorište</t>
  </si>
  <si>
    <t>Blue bin; recycling yard</t>
  </si>
  <si>
    <t>PAPIR</t>
  </si>
  <si>
    <t>Kartonska kutija</t>
  </si>
  <si>
    <t>Cardboard box</t>
  </si>
  <si>
    <t>Papir i karton</t>
  </si>
  <si>
    <t>Paper and cardboard</t>
  </si>
  <si>
    <t>Spljoštiti prije bacanja</t>
  </si>
  <si>
    <t>Tetrapak (karton za mlijeko ili sok)</t>
  </si>
  <si>
    <t>Beverage carton (Tetra Pak)</t>
  </si>
  <si>
    <t>Ambalaža – kompozit</t>
  </si>
  <si>
    <t>Packaging – composite</t>
  </si>
  <si>
    <t>Žuti spremnik (provjeriti za Zagreb)</t>
  </si>
  <si>
    <t>Yellow bin (verify for Zagreb)</t>
  </si>
  <si>
    <t>Česta zabuna: papir ili plastika?</t>
  </si>
  <si>
    <t>Stiropor iz ambalaže</t>
  </si>
  <si>
    <t>Polystyrene (EPS) packaging</t>
  </si>
  <si>
    <t>Plastika / ostalo</t>
  </si>
  <si>
    <t>Plastic / other</t>
  </si>
  <si>
    <t>Reciklažno dvorište</t>
  </si>
  <si>
    <t>Recycling yard</t>
  </si>
  <si>
    <t>OSTALO</t>
  </si>
  <si>
    <t>Čisti ambalažni stiropor; građevinski stiropor zasebno</t>
  </si>
  <si>
    <t>Ostaci voća i povrća</t>
  </si>
  <si>
    <t>Fruit and vegetable scraps</t>
  </si>
  <si>
    <t>Biootpad</t>
  </si>
  <si>
    <t>Biowaste</t>
  </si>
  <si>
    <t>Smeđi spremnik za biootpad</t>
  </si>
  <si>
    <t>Brown biowaste bin</t>
  </si>
  <si>
    <t>BIOOTPAD</t>
  </si>
  <si>
    <t>Bez plastične vrećice (samo biorazgradive)</t>
  </si>
  <si>
    <t>Talog kave i vrećice čaja</t>
  </si>
  <si>
    <t>Coffee grounds and tea bags</t>
  </si>
  <si>
    <t>Provjeriti sadrže li vrećice plastiku</t>
  </si>
  <si>
    <t>Ljuske jaja</t>
  </si>
  <si>
    <t>Eggshells</t>
  </si>
  <si>
    <t>Kuhana hrana i ostaci jela</t>
  </si>
  <si>
    <t>Cooked food leftovers</t>
  </si>
  <si>
    <t>Smeđi spremnik za biootpad (provjeriti pravila)</t>
  </si>
  <si>
    <t>Brown biowaste bin (verify rules)</t>
  </si>
  <si>
    <t>Pravila se mogu razlikovati po gradu</t>
  </si>
  <si>
    <t>Lišće, trava i granje iz vrta</t>
  </si>
  <si>
    <t>Garden waste (leaves, grass, branches)</t>
  </si>
  <si>
    <t>Biootpad – zeleni otpad</t>
  </si>
  <si>
    <t>Biowaste – green waste</t>
  </si>
  <si>
    <t>Smeđi spremnik; reciklažno dvorište za veće količine</t>
  </si>
  <si>
    <t>Brown bin; recycling yard for larger amounts</t>
  </si>
  <si>
    <t>Granje usitniti ili svezati</t>
  </si>
  <si>
    <t>Uvelo cvijeće i sobne biljke</t>
  </si>
  <si>
    <t>Wilted flowers and houseplants</t>
  </si>
  <si>
    <t>Lonac i tegla idu zasebno (plastika ili keramika)</t>
  </si>
  <si>
    <t>Otpadno jestivo ulje</t>
  </si>
  <si>
    <t>Used cooking oil</t>
  </si>
  <si>
    <t>Posebni otpad</t>
  </si>
  <si>
    <t>Special waste</t>
  </si>
  <si>
    <t>Nikada u odvod; u zatvorenoj boci</t>
  </si>
  <si>
    <t>Baterije (kućanske)</t>
  </si>
  <si>
    <t>Household batteries</t>
  </si>
  <si>
    <t>Opasni otpad</t>
  </si>
  <si>
    <t>Hazardous waste</t>
  </si>
  <si>
    <t>Prodajna mjesta i reciklažno dvorište</t>
  </si>
  <si>
    <t>Retailers and recycling yard</t>
  </si>
  <si>
    <t>STARE_BATE</t>
  </si>
  <si>
    <t>Ne u miješani otpad</t>
  </si>
  <si>
    <t>Auto-akumulator</t>
  </si>
  <si>
    <t>Car battery</t>
  </si>
  <si>
    <t>Prodajno mjesto ili reciklažno dvorište</t>
  </si>
  <si>
    <t>Retailer or recycling yard</t>
  </si>
  <si>
    <t>Štedna ili fluorescentna žarulja</t>
  </si>
  <si>
    <t>Energy-saving or fluorescent bulb</t>
  </si>
  <si>
    <t>Električni otpad (opasni)</t>
  </si>
  <si>
    <t>E-waste (hazardous)</t>
  </si>
  <si>
    <t>Reciklažno dvorište; trgovine</t>
  </si>
  <si>
    <t>Recycling yard; shops</t>
  </si>
  <si>
    <t>ELEK_OTPAD</t>
  </si>
  <si>
    <t>Sadrži živu, ne razbijati</t>
  </si>
  <si>
    <t>Stari mobitel</t>
  </si>
  <si>
    <t>Old mobile phone</t>
  </si>
  <si>
    <t>Električni otpad</t>
  </si>
  <si>
    <t>E-waste</t>
  </si>
  <si>
    <t>Prije predaje obrisati podatke</t>
  </si>
  <si>
    <t>Veliki kućanski aparat (hladnjak, perilica)</t>
  </si>
  <si>
    <t>Large appliance (fridge, washing machine)</t>
  </si>
  <si>
    <t>Reciklažno dvorište; povrat pri kupnji novog (provjeriti)</t>
  </si>
  <si>
    <t>Recycling yard; take-back on new purchase (verify)</t>
  </si>
  <si>
    <t>Provjeriti obvezu trgovca</t>
  </si>
  <si>
    <t>Istekli lijekovi</t>
  </si>
  <si>
    <t>Expired medicines</t>
  </si>
  <si>
    <t>Opasni / medicinski otpad</t>
  </si>
  <si>
    <t>Hazardous / medical waste</t>
  </si>
  <si>
    <t>Ljekarna (povrat)</t>
  </si>
  <si>
    <t>Pharmacy (return)</t>
  </si>
  <si>
    <t>Ne u WC ni u miješani otpad</t>
  </si>
  <si>
    <t>Boje, lakovi i otapala</t>
  </si>
  <si>
    <t>Paints, varnishes and solvents</t>
  </si>
  <si>
    <t>Ne prazniti u odvod</t>
  </si>
  <si>
    <t>Ostaci sredstava za zaštitu bilja (pesticidi)</t>
  </si>
  <si>
    <t>Leftover plant protection products (pesticides)</t>
  </si>
  <si>
    <t>Reciklažno dvorište ili ovlašteni sakupljač (provjeriti)</t>
  </si>
  <si>
    <t>Recycling yard or authorised collector (verify)</t>
  </si>
  <si>
    <t>Vaša stručna prednost: dodati i praznu ambalažu</t>
  </si>
  <si>
    <t>Aerosol (sprej)</t>
  </si>
  <si>
    <t>Aerosol can</t>
  </si>
  <si>
    <t>Opasni otpad (ako nije prazan)</t>
  </si>
  <si>
    <t>Hazardous waste (if not empty)</t>
  </si>
  <si>
    <t>Prazan sprej može ići kao metalna ambalaža (provjeriti)</t>
  </si>
  <si>
    <t>Automobilske gume</t>
  </si>
  <si>
    <t>Car tyres</t>
  </si>
  <si>
    <t>Otpad od guma</t>
  </si>
  <si>
    <t>Tyre waste</t>
  </si>
  <si>
    <t>Reciklažno dvorište; vulkanizer</t>
  </si>
  <si>
    <t>Recycling yard; tyre shop</t>
  </si>
  <si>
    <t>OTPAD_GUME</t>
  </si>
  <si>
    <t>Manja količina građevinskog šuta</t>
  </si>
  <si>
    <t>Small amount of construction rubble</t>
  </si>
  <si>
    <t>Građevinski otpad</t>
  </si>
  <si>
    <t>Construction waste</t>
  </si>
  <si>
    <t>GRADJ_OTPA</t>
  </si>
  <si>
    <t>Ograničenje količine provjeriti</t>
  </si>
  <si>
    <t>Namještaj i madrac</t>
  </si>
  <si>
    <t>Furniture and mattress</t>
  </si>
  <si>
    <t>Glomazni otpad</t>
  </si>
  <si>
    <t>Bulky waste</t>
  </si>
  <si>
    <t>Reciklažno dvorište; odvoz glomaznog otpada</t>
  </si>
  <si>
    <t>Recycling yard; bulky waste collection</t>
  </si>
  <si>
    <t>Stara odjeća i tekstil</t>
  </si>
  <si>
    <t>Old clothes and textiles</t>
  </si>
  <si>
    <t>Tekstil</t>
  </si>
  <si>
    <t>Textiles</t>
  </si>
  <si>
    <t>Spremnici za tekstil; reciklažno dvorište</t>
  </si>
  <si>
    <t>Textile containers; recycling yard</t>
  </si>
  <si>
    <t>Čisto i suho; oštećeno posebno</t>
  </si>
  <si>
    <t>Pelene</t>
  </si>
  <si>
    <t>Diapers</t>
  </si>
  <si>
    <t>Miješani komunalni otpad</t>
  </si>
  <si>
    <t>Mixed municipal waste</t>
  </si>
  <si>
    <t>Crni / sivi spremnik za miješani otpad</t>
  </si>
  <si>
    <t>Black / grey mixed-waste bin</t>
  </si>
  <si>
    <t>Ne ide u recikliranje</t>
  </si>
  <si>
    <t>Opušci cigareta</t>
  </si>
  <si>
    <t>Cigarette butts</t>
  </si>
  <si>
    <t>Ugasiti prije bacanja</t>
  </si>
  <si>
    <t>Razbijeni porculan i keramika</t>
  </si>
  <si>
    <t>Broken porcelain and ceramics</t>
  </si>
  <si>
    <t>Spremnik za miješani otpad; reciklažno dvorište</t>
  </si>
  <si>
    <t>Mixed-waste bin; recycling yard</t>
  </si>
  <si>
    <t>Ne ide u staklo</t>
  </si>
  <si>
    <t>Ogledala i prozorsko staklo</t>
  </si>
  <si>
    <t>Mirrors and window glass</t>
  </si>
  <si>
    <t>Staklo – ne ambalažno</t>
  </si>
  <si>
    <t>Glass – non-packaging</t>
  </si>
  <si>
    <t>Reciklažno dvorište (provjeriti)</t>
  </si>
  <si>
    <t>Recycling yard (verify)</t>
  </si>
  <si>
    <t>Ne u zeleni spremnik za ambalažno staklo</t>
  </si>
  <si>
    <t>Nejasno</t>
  </si>
  <si>
    <t>egg carton</t>
  </si>
  <si>
    <t>Karton za jaja</t>
  </si>
  <si>
    <t>Prazna plastična boca od sredstva za čišćenje</t>
  </si>
  <si>
    <t>Empty plastic bottle of cleaning product</t>
  </si>
  <si>
    <t xml:space="preserve">Ambalaža - plastika </t>
  </si>
  <si>
    <t xml:space="preserve">Provjereno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</si>
</sst>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2E7D3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color rgb="FF2E7D32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5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</cellXfs>
  <cellStyles count="1">
    <cellStyle name="Normalno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80" customWidth="1"/>
  </cols>
  <sheetData>
    <row r="1" spans="1:2" ht="17.399999999999999" x14ac:dyDescent="0.3">
      <c r="A1" s="1" t="s">
        <v>0</v>
      </c>
      <c r="B1" s="2"/>
    </row>
    <row r="2" spans="1:2" ht="26.4" x14ac:dyDescent="0.3">
      <c r="A2" s="3" t="s">
        <v>1</v>
      </c>
      <c r="B2" s="2" t="s">
        <v>2</v>
      </c>
    </row>
    <row r="3" spans="1:2" ht="26.4" x14ac:dyDescent="0.3">
      <c r="A3" s="3" t="s">
        <v>3</v>
      </c>
      <c r="B3" s="2" t="s">
        <v>4</v>
      </c>
    </row>
    <row r="4" spans="1:2" x14ac:dyDescent="0.3">
      <c r="A4" s="3"/>
      <c r="B4" s="2"/>
    </row>
    <row r="5" spans="1:2" x14ac:dyDescent="0.3">
      <c r="A5" s="3" t="s">
        <v>5</v>
      </c>
      <c r="B5" s="2" t="s">
        <v>6</v>
      </c>
    </row>
    <row r="6" spans="1:2" x14ac:dyDescent="0.3">
      <c r="A6" s="3" t="s">
        <v>7</v>
      </c>
      <c r="B6" s="2" t="s">
        <v>8</v>
      </c>
    </row>
    <row r="7" spans="1:2" x14ac:dyDescent="0.3">
      <c r="A7" s="3" t="s">
        <v>9</v>
      </c>
      <c r="B7" s="2" t="s">
        <v>10</v>
      </c>
    </row>
    <row r="8" spans="1:2" ht="52.8" x14ac:dyDescent="0.3">
      <c r="A8" s="3" t="s">
        <v>11</v>
      </c>
      <c r="B8" s="2" t="s">
        <v>12</v>
      </c>
    </row>
    <row r="9" spans="1:2" x14ac:dyDescent="0.3">
      <c r="A9" s="3" t="s">
        <v>13</v>
      </c>
      <c r="B9" s="2" t="s">
        <v>14</v>
      </c>
    </row>
    <row r="10" spans="1:2" x14ac:dyDescent="0.3">
      <c r="A10" s="3"/>
      <c r="B10" s="2"/>
    </row>
    <row r="11" spans="1:2" ht="15.6" x14ac:dyDescent="0.3">
      <c r="A11" s="4" t="s">
        <v>15</v>
      </c>
      <c r="B11" s="2"/>
    </row>
    <row r="12" spans="1:2" x14ac:dyDescent="0.3">
      <c r="A12" s="3" t="s">
        <v>16</v>
      </c>
      <c r="B12" s="5">
        <f>COUNTA(Predmeti!B2:B500)</f>
        <v>33</v>
      </c>
    </row>
    <row r="13" spans="1:2" x14ac:dyDescent="0.3">
      <c r="A13" s="3" t="s">
        <v>17</v>
      </c>
      <c r="B13" s="5">
        <f>COUNTIF(Predmeti!K2:K500,"Provjereno")</f>
        <v>31</v>
      </c>
    </row>
    <row r="14" spans="1:2" x14ac:dyDescent="0.3">
      <c r="A14" s="3" t="s">
        <v>18</v>
      </c>
      <c r="B14" s="6">
        <f>IF(B12=0,0,B13/B12)</f>
        <v>0.93939393939393945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zoomScaleNormal="100" workbookViewId="0">
      <pane xSplit="2" ySplit="1" topLeftCell="F17" activePane="bottomRight" state="frozen"/>
      <selection pane="topRight" activeCell="C1" sqref="C1"/>
      <selection pane="bottomLeft" activeCell="A2" sqref="A2"/>
      <selection pane="bottomRight" activeCell="K34" sqref="K34"/>
    </sheetView>
  </sheetViews>
  <sheetFormatPr defaultColWidth="8.6640625" defaultRowHeight="14.4" x14ac:dyDescent="0.3"/>
  <cols>
    <col min="1" max="1" width="5" customWidth="1"/>
    <col min="2" max="2" width="32" customWidth="1"/>
    <col min="3" max="3" width="30" customWidth="1"/>
    <col min="4" max="5" width="26" customWidth="1"/>
    <col min="6" max="6" width="38" customWidth="1"/>
    <col min="7" max="7" width="36" customWidth="1"/>
    <col min="8" max="8" width="20" customWidth="1"/>
    <col min="9" max="9" width="38" customWidth="1"/>
    <col min="10" max="10" width="28" customWidth="1"/>
    <col min="11" max="11" width="14" customWidth="1"/>
  </cols>
  <sheetData>
    <row r="1" spans="1:11" ht="31.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7</v>
      </c>
      <c r="K1" s="7" t="s">
        <v>9</v>
      </c>
    </row>
    <row r="2" spans="1:11" ht="26.4" x14ac:dyDescent="0.3">
      <c r="A2" s="8">
        <v>1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9"/>
      <c r="K2" s="9" t="s">
        <v>17</v>
      </c>
    </row>
    <row r="3" spans="1:11" ht="26.4" x14ac:dyDescent="0.3">
      <c r="A3" s="8">
        <v>2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32</v>
      </c>
      <c r="G3" s="8" t="s">
        <v>33</v>
      </c>
      <c r="H3" s="8" t="s">
        <v>40</v>
      </c>
      <c r="I3" s="8" t="s">
        <v>41</v>
      </c>
      <c r="J3" s="9"/>
      <c r="K3" s="9" t="s">
        <v>17</v>
      </c>
    </row>
    <row r="4" spans="1:11" ht="26.4" x14ac:dyDescent="0.3">
      <c r="A4" s="8">
        <v>3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9"/>
      <c r="K4" s="9" t="s">
        <v>17</v>
      </c>
    </row>
    <row r="5" spans="1:11" x14ac:dyDescent="0.3">
      <c r="A5" s="8">
        <v>4</v>
      </c>
      <c r="B5" s="8" t="s">
        <v>50</v>
      </c>
      <c r="C5" s="8" t="s">
        <v>51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  <c r="I5" s="8"/>
      <c r="J5" s="9"/>
      <c r="K5" s="9" t="s">
        <v>17</v>
      </c>
    </row>
    <row r="6" spans="1:11" x14ac:dyDescent="0.3">
      <c r="A6" s="8">
        <v>5</v>
      </c>
      <c r="B6" s="8" t="s">
        <v>57</v>
      </c>
      <c r="C6" s="8" t="s">
        <v>58</v>
      </c>
      <c r="D6" s="8" t="s">
        <v>59</v>
      </c>
      <c r="E6" s="8" t="s">
        <v>60</v>
      </c>
      <c r="F6" s="8" t="s">
        <v>54</v>
      </c>
      <c r="G6" s="8" t="s">
        <v>55</v>
      </c>
      <c r="H6" s="8" t="s">
        <v>56</v>
      </c>
      <c r="I6" s="8" t="s">
        <v>61</v>
      </c>
      <c r="J6" s="9"/>
      <c r="K6" s="9" t="s">
        <v>17</v>
      </c>
    </row>
    <row r="7" spans="1:11" x14ac:dyDescent="0.3">
      <c r="A7" s="8">
        <v>6</v>
      </c>
      <c r="B7" s="8" t="s">
        <v>62</v>
      </c>
      <c r="C7" s="8" t="s">
        <v>63</v>
      </c>
      <c r="D7" s="8" t="s">
        <v>64</v>
      </c>
      <c r="E7" s="8" t="s">
        <v>65</v>
      </c>
      <c r="F7" s="8" t="s">
        <v>66</v>
      </c>
      <c r="G7" s="8" t="s">
        <v>67</v>
      </c>
      <c r="H7" s="8" t="s">
        <v>34</v>
      </c>
      <c r="I7" s="8" t="s">
        <v>68</v>
      </c>
      <c r="J7" s="9"/>
      <c r="K7" s="9" t="s">
        <v>17</v>
      </c>
    </row>
    <row r="8" spans="1:11" ht="26.4" x14ac:dyDescent="0.3">
      <c r="A8" s="8">
        <v>7</v>
      </c>
      <c r="B8" s="8" t="s">
        <v>69</v>
      </c>
      <c r="C8" s="8" t="s">
        <v>70</v>
      </c>
      <c r="D8" s="8" t="s">
        <v>71</v>
      </c>
      <c r="E8" s="8" t="s">
        <v>72</v>
      </c>
      <c r="F8" s="8" t="s">
        <v>73</v>
      </c>
      <c r="G8" s="8" t="s">
        <v>74</v>
      </c>
      <c r="H8" s="8" t="s">
        <v>75</v>
      </c>
      <c r="I8" s="8" t="s">
        <v>76</v>
      </c>
      <c r="J8" s="9"/>
      <c r="K8" s="9" t="s">
        <v>17</v>
      </c>
    </row>
    <row r="9" spans="1:11" x14ac:dyDescent="0.3">
      <c r="A9" s="8">
        <v>8</v>
      </c>
      <c r="B9" s="8" t="s">
        <v>77</v>
      </c>
      <c r="C9" s="8" t="s">
        <v>78</v>
      </c>
      <c r="D9" s="8" t="s">
        <v>79</v>
      </c>
      <c r="E9" s="8" t="s">
        <v>80</v>
      </c>
      <c r="F9" s="8" t="s">
        <v>81</v>
      </c>
      <c r="G9" s="8" t="s">
        <v>82</v>
      </c>
      <c r="H9" s="8" t="s">
        <v>83</v>
      </c>
      <c r="I9" s="8" t="s">
        <v>84</v>
      </c>
      <c r="J9" s="9"/>
      <c r="K9" s="9" t="s">
        <v>17</v>
      </c>
    </row>
    <row r="10" spans="1:11" x14ac:dyDescent="0.3">
      <c r="A10" s="8">
        <v>9</v>
      </c>
      <c r="B10" s="8" t="s">
        <v>85</v>
      </c>
      <c r="C10" s="8" t="s">
        <v>86</v>
      </c>
      <c r="D10" s="8" t="s">
        <v>79</v>
      </c>
      <c r="E10" s="8" t="s">
        <v>80</v>
      </c>
      <c r="F10" s="8" t="s">
        <v>81</v>
      </c>
      <c r="G10" s="8" t="s">
        <v>82</v>
      </c>
      <c r="H10" s="8" t="s">
        <v>83</v>
      </c>
      <c r="I10" s="8" t="s">
        <v>87</v>
      </c>
      <c r="J10" s="9"/>
      <c r="K10" s="9" t="s">
        <v>17</v>
      </c>
    </row>
    <row r="11" spans="1:11" x14ac:dyDescent="0.3">
      <c r="A11" s="8">
        <v>10</v>
      </c>
      <c r="B11" s="8" t="s">
        <v>88</v>
      </c>
      <c r="C11" s="8" t="s">
        <v>89</v>
      </c>
      <c r="D11" s="8" t="s">
        <v>79</v>
      </c>
      <c r="E11" s="8" t="s">
        <v>80</v>
      </c>
      <c r="F11" s="8" t="s">
        <v>81</v>
      </c>
      <c r="G11" s="8" t="s">
        <v>82</v>
      </c>
      <c r="H11" s="8" t="s">
        <v>83</v>
      </c>
      <c r="I11" s="8"/>
      <c r="J11" s="9"/>
      <c r="K11" s="9" t="s">
        <v>17</v>
      </c>
    </row>
    <row r="12" spans="1:11" ht="26.4" x14ac:dyDescent="0.3">
      <c r="A12" s="8">
        <v>11</v>
      </c>
      <c r="B12" s="8" t="s">
        <v>90</v>
      </c>
      <c r="C12" s="8" t="s">
        <v>91</v>
      </c>
      <c r="D12" s="8" t="s">
        <v>79</v>
      </c>
      <c r="E12" s="8" t="s">
        <v>80</v>
      </c>
      <c r="F12" s="8" t="s">
        <v>92</v>
      </c>
      <c r="G12" s="8" t="s">
        <v>93</v>
      </c>
      <c r="H12" s="8" t="s">
        <v>83</v>
      </c>
      <c r="I12" s="8" t="s">
        <v>94</v>
      </c>
      <c r="J12" s="9"/>
      <c r="K12" s="9" t="s">
        <v>17</v>
      </c>
    </row>
    <row r="13" spans="1:11" ht="26.4" x14ac:dyDescent="0.3">
      <c r="A13" s="8">
        <v>12</v>
      </c>
      <c r="B13" s="8" t="s">
        <v>95</v>
      </c>
      <c r="C13" s="8" t="s">
        <v>96</v>
      </c>
      <c r="D13" s="8" t="s">
        <v>97</v>
      </c>
      <c r="E13" s="8" t="s">
        <v>98</v>
      </c>
      <c r="F13" s="8" t="s">
        <v>99</v>
      </c>
      <c r="G13" s="8" t="s">
        <v>100</v>
      </c>
      <c r="H13" s="8" t="s">
        <v>83</v>
      </c>
      <c r="I13" s="8" t="s">
        <v>101</v>
      </c>
      <c r="J13" s="9"/>
      <c r="K13" s="9" t="s">
        <v>17</v>
      </c>
    </row>
    <row r="14" spans="1:11" ht="26.4" x14ac:dyDescent="0.3">
      <c r="A14" s="8">
        <v>13</v>
      </c>
      <c r="B14" s="8" t="s">
        <v>102</v>
      </c>
      <c r="C14" s="8" t="s">
        <v>103</v>
      </c>
      <c r="D14" s="8" t="s">
        <v>79</v>
      </c>
      <c r="E14" s="8" t="s">
        <v>80</v>
      </c>
      <c r="F14" s="8" t="s">
        <v>81</v>
      </c>
      <c r="G14" s="8" t="s">
        <v>82</v>
      </c>
      <c r="H14" s="8" t="s">
        <v>83</v>
      </c>
      <c r="I14" s="8" t="s">
        <v>104</v>
      </c>
      <c r="J14" s="9"/>
      <c r="K14" s="9" t="s">
        <v>17</v>
      </c>
    </row>
    <row r="15" spans="1:11" x14ac:dyDescent="0.3">
      <c r="A15" s="8">
        <v>14</v>
      </c>
      <c r="B15" s="8" t="s">
        <v>105</v>
      </c>
      <c r="C15" s="8" t="s">
        <v>106</v>
      </c>
      <c r="D15" s="8" t="s">
        <v>107</v>
      </c>
      <c r="E15" s="8" t="s">
        <v>108</v>
      </c>
      <c r="F15" s="8" t="s">
        <v>73</v>
      </c>
      <c r="G15" s="8" t="s">
        <v>74</v>
      </c>
      <c r="H15" s="8" t="s">
        <v>75</v>
      </c>
      <c r="I15" s="8" t="s">
        <v>109</v>
      </c>
      <c r="J15" s="9"/>
      <c r="K15" s="9" t="s">
        <v>17</v>
      </c>
    </row>
    <row r="16" spans="1:11" x14ac:dyDescent="0.3">
      <c r="A16" s="8">
        <v>15</v>
      </c>
      <c r="B16" s="8" t="s">
        <v>110</v>
      </c>
      <c r="C16" s="8" t="s">
        <v>111</v>
      </c>
      <c r="D16" s="8" t="s">
        <v>112</v>
      </c>
      <c r="E16" s="8" t="s">
        <v>113</v>
      </c>
      <c r="F16" s="8" t="s">
        <v>114</v>
      </c>
      <c r="G16" s="8" t="s">
        <v>115</v>
      </c>
      <c r="H16" s="8" t="s">
        <v>116</v>
      </c>
      <c r="I16" s="8" t="s">
        <v>117</v>
      </c>
      <c r="J16" s="9"/>
      <c r="K16" s="9" t="s">
        <v>17</v>
      </c>
    </row>
    <row r="17" spans="1:11" x14ac:dyDescent="0.3">
      <c r="A17" s="8">
        <v>16</v>
      </c>
      <c r="B17" s="8" t="s">
        <v>118</v>
      </c>
      <c r="C17" s="8" t="s">
        <v>119</v>
      </c>
      <c r="D17" s="8" t="s">
        <v>112</v>
      </c>
      <c r="E17" s="8" t="s">
        <v>113</v>
      </c>
      <c r="F17" s="8" t="s">
        <v>120</v>
      </c>
      <c r="G17" s="8" t="s">
        <v>121</v>
      </c>
      <c r="H17" s="8" t="s">
        <v>116</v>
      </c>
      <c r="I17" s="8"/>
      <c r="J17" s="9"/>
      <c r="K17" s="9" t="s">
        <v>17</v>
      </c>
    </row>
    <row r="18" spans="1:11" x14ac:dyDescent="0.3">
      <c r="A18" s="8">
        <v>17</v>
      </c>
      <c r="B18" s="8" t="s">
        <v>122</v>
      </c>
      <c r="C18" s="8" t="s">
        <v>123</v>
      </c>
      <c r="D18" s="8" t="s">
        <v>124</v>
      </c>
      <c r="E18" s="8" t="s">
        <v>125</v>
      </c>
      <c r="F18" s="8" t="s">
        <v>126</v>
      </c>
      <c r="G18" s="8" t="s">
        <v>127</v>
      </c>
      <c r="H18" s="8" t="s">
        <v>128</v>
      </c>
      <c r="I18" s="8" t="s">
        <v>129</v>
      </c>
      <c r="J18" s="9"/>
      <c r="K18" s="9" t="s">
        <v>17</v>
      </c>
    </row>
    <row r="19" spans="1:11" x14ac:dyDescent="0.3">
      <c r="A19" s="8">
        <v>18</v>
      </c>
      <c r="B19" s="8" t="s">
        <v>130</v>
      </c>
      <c r="C19" s="8" t="s">
        <v>131</v>
      </c>
      <c r="D19" s="8" t="s">
        <v>132</v>
      </c>
      <c r="E19" s="8" t="s">
        <v>133</v>
      </c>
      <c r="F19" s="8" t="s">
        <v>126</v>
      </c>
      <c r="G19" s="8" t="s">
        <v>127</v>
      </c>
      <c r="H19" s="8" t="s">
        <v>128</v>
      </c>
      <c r="I19" s="8" t="s">
        <v>134</v>
      </c>
      <c r="J19" s="9"/>
      <c r="K19" s="9" t="s">
        <v>17</v>
      </c>
    </row>
    <row r="20" spans="1:11" ht="26.4" x14ac:dyDescent="0.3">
      <c r="A20" s="8">
        <v>19</v>
      </c>
      <c r="B20" s="8" t="s">
        <v>135</v>
      </c>
      <c r="C20" s="8" t="s">
        <v>136</v>
      </c>
      <c r="D20" s="8" t="s">
        <v>132</v>
      </c>
      <c r="E20" s="8" t="s">
        <v>133</v>
      </c>
      <c r="F20" s="8" t="s">
        <v>137</v>
      </c>
      <c r="G20" s="8" t="s">
        <v>138</v>
      </c>
      <c r="H20" s="8" t="s">
        <v>128</v>
      </c>
      <c r="I20" s="8" t="s">
        <v>139</v>
      </c>
      <c r="J20" s="9"/>
      <c r="K20" s="9" t="s">
        <v>17</v>
      </c>
    </row>
    <row r="21" spans="1:11" x14ac:dyDescent="0.3">
      <c r="A21" s="8">
        <v>20</v>
      </c>
      <c r="B21" s="8" t="s">
        <v>140</v>
      </c>
      <c r="C21" s="8" t="s">
        <v>141</v>
      </c>
      <c r="D21" s="8" t="s">
        <v>142</v>
      </c>
      <c r="E21" s="8" t="s">
        <v>143</v>
      </c>
      <c r="F21" s="8" t="s">
        <v>144</v>
      </c>
      <c r="G21" s="8" t="s">
        <v>145</v>
      </c>
      <c r="H21" s="8"/>
      <c r="I21" s="8" t="s">
        <v>146</v>
      </c>
      <c r="J21" s="9"/>
      <c r="K21" s="9" t="s">
        <v>208</v>
      </c>
    </row>
    <row r="22" spans="1:11" x14ac:dyDescent="0.3">
      <c r="A22" s="8">
        <v>21</v>
      </c>
      <c r="B22" s="8" t="s">
        <v>147</v>
      </c>
      <c r="C22" s="8" t="s">
        <v>148</v>
      </c>
      <c r="D22" s="8" t="s">
        <v>112</v>
      </c>
      <c r="E22" s="8" t="s">
        <v>113</v>
      </c>
      <c r="F22" s="8" t="s">
        <v>73</v>
      </c>
      <c r="G22" s="8" t="s">
        <v>74</v>
      </c>
      <c r="H22" s="8" t="s">
        <v>75</v>
      </c>
      <c r="I22" s="8" t="s">
        <v>149</v>
      </c>
      <c r="J22" s="9"/>
      <c r="K22" s="9" t="s">
        <v>17</v>
      </c>
    </row>
    <row r="23" spans="1:11" ht="26.4" x14ac:dyDescent="0.3">
      <c r="A23" s="8">
        <v>22</v>
      </c>
      <c r="B23" s="8" t="s">
        <v>150</v>
      </c>
      <c r="C23" s="8" t="s">
        <v>151</v>
      </c>
      <c r="D23" s="8" t="s">
        <v>112</v>
      </c>
      <c r="E23" s="8" t="s">
        <v>113</v>
      </c>
      <c r="F23" s="8" t="s">
        <v>152</v>
      </c>
      <c r="G23" s="8" t="s">
        <v>153</v>
      </c>
      <c r="H23" s="8" t="s">
        <v>75</v>
      </c>
      <c r="I23" s="8" t="s">
        <v>154</v>
      </c>
      <c r="J23" s="9"/>
      <c r="K23" s="9" t="s">
        <v>17</v>
      </c>
    </row>
    <row r="24" spans="1:11" ht="26.4" x14ac:dyDescent="0.3">
      <c r="A24" s="8">
        <v>23</v>
      </c>
      <c r="B24" s="8" t="s">
        <v>155</v>
      </c>
      <c r="C24" s="8" t="s">
        <v>156</v>
      </c>
      <c r="D24" s="8" t="s">
        <v>157</v>
      </c>
      <c r="E24" s="8" t="s">
        <v>158</v>
      </c>
      <c r="F24" s="8" t="s">
        <v>73</v>
      </c>
      <c r="G24" s="8" t="s">
        <v>74</v>
      </c>
      <c r="H24" s="8" t="s">
        <v>75</v>
      </c>
      <c r="I24" s="8" t="s">
        <v>159</v>
      </c>
      <c r="J24" s="9"/>
      <c r="K24" s="9" t="s">
        <v>17</v>
      </c>
    </row>
    <row r="25" spans="1:11" x14ac:dyDescent="0.3">
      <c r="A25" s="8">
        <v>24</v>
      </c>
      <c r="B25" s="8" t="s">
        <v>160</v>
      </c>
      <c r="C25" s="8" t="s">
        <v>161</v>
      </c>
      <c r="D25" s="8" t="s">
        <v>162</v>
      </c>
      <c r="E25" s="8" t="s">
        <v>163</v>
      </c>
      <c r="F25" s="8" t="s">
        <v>164</v>
      </c>
      <c r="G25" s="8" t="s">
        <v>165</v>
      </c>
      <c r="H25" s="8" t="s">
        <v>166</v>
      </c>
      <c r="I25" s="8"/>
      <c r="J25" s="9"/>
      <c r="K25" s="9" t="s">
        <v>17</v>
      </c>
    </row>
    <row r="26" spans="1:11" ht="26.4" x14ac:dyDescent="0.3">
      <c r="A26" s="8">
        <v>25</v>
      </c>
      <c r="B26" s="8" t="s">
        <v>167</v>
      </c>
      <c r="C26" s="8" t="s">
        <v>168</v>
      </c>
      <c r="D26" s="8" t="s">
        <v>169</v>
      </c>
      <c r="E26" s="8" t="s">
        <v>170</v>
      </c>
      <c r="F26" s="8" t="s">
        <v>73</v>
      </c>
      <c r="G26" s="8" t="s">
        <v>74</v>
      </c>
      <c r="H26" s="8" t="s">
        <v>171</v>
      </c>
      <c r="I26" s="8" t="s">
        <v>172</v>
      </c>
      <c r="J26" s="9"/>
      <c r="K26" s="9" t="s">
        <v>17</v>
      </c>
    </row>
    <row r="27" spans="1:11" ht="26.4" x14ac:dyDescent="0.3">
      <c r="A27" s="8">
        <v>26</v>
      </c>
      <c r="B27" s="8" t="s">
        <v>173</v>
      </c>
      <c r="C27" s="8" t="s">
        <v>174</v>
      </c>
      <c r="D27" s="8" t="s">
        <v>175</v>
      </c>
      <c r="E27" s="8" t="s">
        <v>176</v>
      </c>
      <c r="F27" s="8" t="s">
        <v>177</v>
      </c>
      <c r="G27" s="8" t="s">
        <v>178</v>
      </c>
      <c r="H27" s="8" t="s">
        <v>75</v>
      </c>
      <c r="I27" s="8"/>
      <c r="J27" s="9"/>
      <c r="K27" s="9" t="s">
        <v>17</v>
      </c>
    </row>
    <row r="28" spans="1:11" x14ac:dyDescent="0.3">
      <c r="A28" s="8">
        <v>27</v>
      </c>
      <c r="B28" s="8" t="s">
        <v>179</v>
      </c>
      <c r="C28" s="8" t="s">
        <v>180</v>
      </c>
      <c r="D28" s="8" t="s">
        <v>181</v>
      </c>
      <c r="E28" s="8" t="s">
        <v>182</v>
      </c>
      <c r="F28" s="8" t="s">
        <v>183</v>
      </c>
      <c r="G28" s="8" t="s">
        <v>184</v>
      </c>
      <c r="H28" s="8" t="s">
        <v>75</v>
      </c>
      <c r="I28" s="8" t="s">
        <v>185</v>
      </c>
      <c r="J28" s="9"/>
      <c r="K28" s="9" t="s">
        <v>17</v>
      </c>
    </row>
    <row r="29" spans="1:11" x14ac:dyDescent="0.3">
      <c r="A29" s="8">
        <v>28</v>
      </c>
      <c r="B29" s="8" t="s">
        <v>186</v>
      </c>
      <c r="C29" s="8" t="s">
        <v>187</v>
      </c>
      <c r="D29" s="8" t="s">
        <v>188</v>
      </c>
      <c r="E29" s="8" t="s">
        <v>189</v>
      </c>
      <c r="F29" s="8" t="s">
        <v>190</v>
      </c>
      <c r="G29" s="8" t="s">
        <v>191</v>
      </c>
      <c r="H29" s="8"/>
      <c r="I29" s="8" t="s">
        <v>192</v>
      </c>
      <c r="J29" s="9"/>
      <c r="K29" s="9" t="s">
        <v>17</v>
      </c>
    </row>
    <row r="30" spans="1:11" x14ac:dyDescent="0.3">
      <c r="A30" s="8">
        <v>29</v>
      </c>
      <c r="B30" s="8" t="s">
        <v>193</v>
      </c>
      <c r="C30" s="8" t="s">
        <v>194</v>
      </c>
      <c r="D30" s="8" t="s">
        <v>188</v>
      </c>
      <c r="E30" s="8" t="s">
        <v>189</v>
      </c>
      <c r="F30" s="8" t="s">
        <v>190</v>
      </c>
      <c r="G30" s="8" t="s">
        <v>191</v>
      </c>
      <c r="H30" s="8"/>
      <c r="I30" s="8" t="s">
        <v>195</v>
      </c>
      <c r="J30" s="9"/>
      <c r="K30" s="9" t="s">
        <v>17</v>
      </c>
    </row>
    <row r="31" spans="1:11" ht="26.4" x14ac:dyDescent="0.3">
      <c r="A31" s="8">
        <v>30</v>
      </c>
      <c r="B31" s="8" t="s">
        <v>196</v>
      </c>
      <c r="C31" s="8" t="s">
        <v>197</v>
      </c>
      <c r="D31" s="8" t="s">
        <v>188</v>
      </c>
      <c r="E31" s="8" t="s">
        <v>189</v>
      </c>
      <c r="F31" s="8" t="s">
        <v>198</v>
      </c>
      <c r="G31" s="8" t="s">
        <v>199</v>
      </c>
      <c r="H31" s="8"/>
      <c r="I31" s="8" t="s">
        <v>200</v>
      </c>
      <c r="J31" s="9"/>
      <c r="K31" s="9" t="s">
        <v>17</v>
      </c>
    </row>
    <row r="32" spans="1:11" x14ac:dyDescent="0.3">
      <c r="A32" s="8">
        <v>31</v>
      </c>
      <c r="B32" s="8" t="s">
        <v>201</v>
      </c>
      <c r="C32" s="8" t="s">
        <v>202</v>
      </c>
      <c r="D32" s="8" t="s">
        <v>203</v>
      </c>
      <c r="E32" s="8" t="s">
        <v>204</v>
      </c>
      <c r="F32" s="8" t="s">
        <v>205</v>
      </c>
      <c r="G32" s="8" t="s">
        <v>206</v>
      </c>
      <c r="H32" s="8" t="s">
        <v>48</v>
      </c>
      <c r="I32" s="8" t="s">
        <v>207</v>
      </c>
      <c r="J32" s="9"/>
      <c r="K32" s="9" t="s">
        <v>17</v>
      </c>
    </row>
    <row r="33" spans="1:11" x14ac:dyDescent="0.3">
      <c r="A33" s="10">
        <v>32</v>
      </c>
      <c r="B33" s="10" t="s">
        <v>210</v>
      </c>
      <c r="C33" s="10" t="s">
        <v>209</v>
      </c>
      <c r="D33" s="10" t="s">
        <v>59</v>
      </c>
      <c r="F33" s="10" t="s">
        <v>54</v>
      </c>
      <c r="G33" s="10" t="s">
        <v>55</v>
      </c>
      <c r="H33" s="10" t="s">
        <v>52</v>
      </c>
      <c r="K33" s="11" t="s">
        <v>214</v>
      </c>
    </row>
    <row r="34" spans="1:11" ht="26.4" x14ac:dyDescent="0.3">
      <c r="B34" t="s">
        <v>211</v>
      </c>
      <c r="C34" s="10" t="s">
        <v>212</v>
      </c>
      <c r="D34" s="10" t="s">
        <v>213</v>
      </c>
      <c r="K34" s="11" t="s">
        <v>17</v>
      </c>
    </row>
  </sheetData>
  <autoFilter ref="A1:K72" xr:uid="{00000000-0009-0000-0000-000001000000}"/>
  <dataValidations count="1">
    <dataValidation type="list" allowBlank="1" sqref="K2:K72" xr:uid="{00000000-0002-0000-0100-000000000000}">
      <formula1>"Za provjeriti,Provjereno,Nejasno"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Upute</vt:lpstr>
      <vt:lpstr>Predmeti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Horak</cp:lastModifiedBy>
  <cp:revision>0</cp:revision>
  <dcterms:created xsi:type="dcterms:W3CDTF">2026-10-25T16:37:12Z</dcterms:created>
  <dcterms:modified xsi:type="dcterms:W3CDTF">2026-10-27T20:47:21Z</dcterms:modified>
  <dc:language>en-US</dc:language>
</cp:coreProperties>
</file>